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528"/>
  <workbookPr/>
  <mc:AlternateContent xmlns:mc="http://schemas.openxmlformats.org/markup-compatibility/2006">
    <mc:Choice Requires="x15">
      <x15ac:absPath xmlns:x15ac="http://schemas.microsoft.com/office/spreadsheetml/2010/11/ac" url="C:\Users\Francis John\Desktop\Sic Itur Ad Astra\Advanced Topics in Computer Science\"/>
    </mc:Choice>
  </mc:AlternateContent>
  <bookViews>
    <workbookView xWindow="0" yWindow="0" windowWidth="16935" windowHeight="717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7" i="1" l="1"/>
  <c r="E2" i="1"/>
  <c r="E3" i="1"/>
  <c r="E6" i="1"/>
  <c r="E9" i="1"/>
  <c r="E11" i="1"/>
  <c r="E12" i="1"/>
  <c r="E13" i="1"/>
  <c r="E14" i="1"/>
  <c r="E15" i="1"/>
  <c r="E16" i="1"/>
  <c r="E17" i="1"/>
  <c r="E19" i="1"/>
  <c r="E20" i="1"/>
  <c r="E21" i="1"/>
  <c r="E22" i="1"/>
  <c r="E23" i="1"/>
  <c r="E24" i="1"/>
  <c r="E25" i="1"/>
  <c r="E28" i="1"/>
  <c r="E29" i="1"/>
  <c r="E30" i="1"/>
  <c r="E33" i="1"/>
  <c r="E35" i="1"/>
  <c r="E37" i="1"/>
  <c r="E39" i="1"/>
  <c r="E40" i="1"/>
  <c r="E41" i="1"/>
  <c r="E42" i="1"/>
  <c r="E43" i="1"/>
  <c r="E44" i="1"/>
  <c r="E45" i="1"/>
  <c r="E46" i="1"/>
  <c r="E48" i="1"/>
  <c r="E49" i="1"/>
  <c r="E50" i="1"/>
  <c r="E52" i="1"/>
  <c r="E53" i="1"/>
  <c r="E54" i="1"/>
  <c r="E55" i="1"/>
  <c r="E56" i="1"/>
  <c r="E57" i="1"/>
  <c r="E58" i="1"/>
  <c r="E59" i="1"/>
  <c r="E60" i="1"/>
  <c r="E61" i="1"/>
  <c r="E63" i="1"/>
  <c r="E64" i="1"/>
  <c r="E65" i="1"/>
  <c r="E66" i="1"/>
  <c r="E67" i="1"/>
  <c r="E68" i="1"/>
  <c r="E69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8" i="1"/>
  <c r="E100" i="1"/>
  <c r="E101" i="1"/>
  <c r="E102" i="1"/>
  <c r="E105" i="1" l="1"/>
  <c r="C107" i="1"/>
  <c r="C106" i="1"/>
  <c r="C105" i="1"/>
  <c r="E106" i="1"/>
  <c r="E108" i="1" l="1"/>
  <c r="E112" i="1"/>
  <c r="E111" i="1"/>
  <c r="E110" i="1"/>
  <c r="E109" i="1"/>
</calcChain>
</file>

<file path=xl/sharedStrings.xml><?xml version="1.0" encoding="utf-8"?>
<sst xmlns="http://schemas.openxmlformats.org/spreadsheetml/2006/main" count="235" uniqueCount="125">
  <si>
    <t>switch statement?</t>
  </si>
  <si>
    <t>for loop</t>
  </si>
  <si>
    <t>get index of substring?</t>
  </si>
  <si>
    <t>read last character?</t>
  </si>
  <si>
    <t>check equality for strings?</t>
  </si>
  <si>
    <t>concatenate strings</t>
  </si>
  <si>
    <t>combine quicksort median selection algorithm?</t>
  </si>
  <si>
    <t>implement floyd warshall</t>
  </si>
  <si>
    <t>run dijikstra's algorithm</t>
  </si>
  <si>
    <t>how to build a binary min heap</t>
  </si>
  <si>
    <t>how to make a java server</t>
  </si>
  <si>
    <t>basic text editor in Java</t>
  </si>
  <si>
    <t>Add for loop?</t>
  </si>
  <si>
    <t>if statement</t>
  </si>
  <si>
    <t>Get mergesort?</t>
  </si>
  <si>
    <t>scanner</t>
  </si>
  <si>
    <t>while loop</t>
  </si>
  <si>
    <t>arraylist</t>
  </si>
  <si>
    <t>node class</t>
  </si>
  <si>
    <t>split string by whitespaces?</t>
  </si>
  <si>
    <t>print out to error console</t>
  </si>
  <si>
    <t>sort an arraylist in descending order</t>
  </si>
  <si>
    <t>implement dijkstra algorithm?</t>
  </si>
  <si>
    <t>split string by substring</t>
  </si>
  <si>
    <t>inputstream to bufferedinputstream</t>
  </si>
  <si>
    <t>add document listener to document</t>
  </si>
  <si>
    <t>custom standard sort compare function in cpp</t>
  </si>
  <si>
    <t>initialize two dimensonal vector</t>
  </si>
  <si>
    <t>bfs implementation in cpp</t>
  </si>
  <si>
    <t>dfs implementation in cpp</t>
  </si>
  <si>
    <t>open a file line by line</t>
  </si>
  <si>
    <t>get index of substring in string</t>
  </si>
  <si>
    <t>find length of string</t>
  </si>
  <si>
    <t>find index of substring in string starting at a given index</t>
  </si>
  <si>
    <t>find substring in string</t>
  </si>
  <si>
    <t>find a substring of a string</t>
  </si>
  <si>
    <t>convert string to integer?</t>
  </si>
  <si>
    <t>test if two strings are the same</t>
  </si>
  <si>
    <t>round double value to two decimal places</t>
  </si>
  <si>
    <t>add lines to text file?</t>
  </si>
  <si>
    <t>compare arraylist of string?</t>
  </si>
  <si>
    <t>fill array of int array?</t>
  </si>
  <si>
    <t>perform bitwise operations?</t>
  </si>
  <si>
    <t>break control flow in java?</t>
  </si>
  <si>
    <t>complete bubble sort?</t>
  </si>
  <si>
    <t>implement depth first search?</t>
  </si>
  <si>
    <t>convert byte array to jpg image?</t>
  </si>
  <si>
    <t>convert lists into string array?</t>
  </si>
  <si>
    <t>sort array for binary search?</t>
  </si>
  <si>
    <t>add custom jpanel to jframe?</t>
  </si>
  <si>
    <t>add objects with various data members?</t>
  </si>
  <si>
    <t>find multiple search results in array?</t>
  </si>
  <si>
    <t>call sleep on current thread?</t>
  </si>
  <si>
    <t>create java thread?</t>
  </si>
  <si>
    <t>implement single thread in java?</t>
  </si>
  <si>
    <t>implement autocomplete textfield?</t>
  </si>
  <si>
    <t>split user input into arraylist?</t>
  </si>
  <si>
    <t>convert camelcase?</t>
  </si>
  <si>
    <t>convert uppercase to lowercase?</t>
  </si>
  <si>
    <t>create doubly linked list?</t>
  </si>
  <si>
    <t>implement linked list class?</t>
  </si>
  <si>
    <t>change default printer in java?</t>
  </si>
  <si>
    <t>print address of variable?</t>
  </si>
  <si>
    <t>add try catch?</t>
  </si>
  <si>
    <t>try catch block example</t>
  </si>
  <si>
    <t>compare rgb colors?</t>
  </si>
  <si>
    <t>find number of shortest paths?</t>
  </si>
  <si>
    <t>return malformed reply from socks server?</t>
  </si>
  <si>
    <t>use execution time method?</t>
  </si>
  <si>
    <t>compile basic hello world program?</t>
  </si>
  <si>
    <t>get data from programmatically added view?</t>
  </si>
  <si>
    <t>add signalhandler to abstract java class?</t>
  </si>
  <si>
    <t>call with empty parameters?</t>
  </si>
  <si>
    <t>find longest geometric progression in array?</t>
  </si>
  <si>
    <t>download html from a website</t>
  </si>
  <si>
    <t>draw a circle</t>
  </si>
  <si>
    <t>bucket sort implemetation</t>
  </si>
  <si>
    <t>optional arguments to a function</t>
  </si>
  <si>
    <t>pass by reference to a function</t>
  </si>
  <si>
    <t>scanner read line</t>
  </si>
  <si>
    <t>override equals for a custom class</t>
  </si>
  <si>
    <t>parse json</t>
  </si>
  <si>
    <t>generate random integers?</t>
  </si>
  <si>
    <t>change seed of random generator</t>
  </si>
  <si>
    <t>string to date conversion</t>
  </si>
  <si>
    <t>print java object without references</t>
  </si>
  <si>
    <t>sort a map by key</t>
  </si>
  <si>
    <t>evalulate math expression in string form</t>
  </si>
  <si>
    <t>play a sound</t>
  </si>
  <si>
    <t>calculate difference between two date instances</t>
  </si>
  <si>
    <t>load file contents into string</t>
  </si>
  <si>
    <t>convert int to string?</t>
  </si>
  <si>
    <t>determine size of vector</t>
  </si>
  <si>
    <t>convert inputstream to string?</t>
  </si>
  <si>
    <t>copy an object</t>
  </si>
  <si>
    <t>iterate over each entry in a map</t>
  </si>
  <si>
    <t>convert binary to integer and back</t>
  </si>
  <si>
    <t>append two arrays together java</t>
  </si>
  <si>
    <t>remove html tags from a string</t>
  </si>
  <si>
    <t>generate all permutations of an arraylist</t>
  </si>
  <si>
    <t>query</t>
  </si>
  <si>
    <t>error</t>
  </si>
  <si>
    <t>no</t>
  </si>
  <si>
    <t>yes</t>
  </si>
  <si>
    <t>Is method or class</t>
  </si>
  <si>
    <t>errors left</t>
  </si>
  <si>
    <t>middle</t>
  </si>
  <si>
    <t>yes class</t>
  </si>
  <si>
    <t>c++</t>
  </si>
  <si>
    <t>yes?</t>
  </si>
  <si>
    <t>part</t>
  </si>
  <si>
    <t>% error left</t>
  </si>
  <si>
    <t>No errors left</t>
  </si>
  <si>
    <t>No errors at start</t>
  </si>
  <si>
    <t>Less 100%</t>
  </si>
  <si>
    <t>No fix</t>
  </si>
  <si>
    <t>Number of class</t>
  </si>
  <si>
    <t>Number of method</t>
  </si>
  <si>
    <t>Number of not method</t>
  </si>
  <si>
    <t>Produce more  errors</t>
  </si>
  <si>
    <t>Summary</t>
  </si>
  <si>
    <t>cannot make query</t>
  </si>
  <si>
    <t>no error</t>
  </si>
  <si>
    <t>not applicable</t>
  </si>
  <si>
    <t>25% 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</si>
</sst>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"/>
  <sheetViews>
    <sheetView tabSelected="1" workbookViewId="0">
      <pane ySplit="1" topLeftCell="A2" activePane="bottomLeft" state="frozen"/>
      <selection pane="bottomLeft" activeCell="H7" sqref="H7"/>
    </sheetView>
  </sheetViews>
  <sheetFormatPr defaultRowHeight="15" x14ac:dyDescent="0.25"/>
  <cols>
    <col min="1" max="1" width="43.5703125" style="1" customWidth="1"/>
    <col min="2" max="2" width="21" style="1" customWidth="1"/>
    <col min="3" max="3" width="13.140625" style="1" customWidth="1"/>
    <col min="4" max="4" width="17.42578125" style="1" customWidth="1"/>
    <col min="5" max="5" width="14.42578125" style="1" customWidth="1"/>
  </cols>
  <sheetData>
    <row r="1" spans="1:5" s="3" customFormat="1" x14ac:dyDescent="0.25">
      <c r="A1" s="2" t="s">
        <v>100</v>
      </c>
      <c r="B1" s="2" t="s">
        <v>104</v>
      </c>
      <c r="C1" s="2" t="s">
        <v>101</v>
      </c>
      <c r="D1" s="2" t="s">
        <v>105</v>
      </c>
      <c r="E1" s="2" t="s">
        <v>111</v>
      </c>
    </row>
    <row r="2" spans="1:5" x14ac:dyDescent="0.25">
      <c r="A2" s="1" t="s">
        <v>0</v>
      </c>
      <c r="B2" s="1" t="s">
        <v>102</v>
      </c>
      <c r="C2" s="1">
        <v>2</v>
      </c>
      <c r="D2" s="1">
        <v>0</v>
      </c>
      <c r="E2" s="1">
        <f>D2/C2*100</f>
        <v>0</v>
      </c>
    </row>
    <row r="3" spans="1:5" x14ac:dyDescent="0.25">
      <c r="A3" s="1" t="s">
        <v>1</v>
      </c>
      <c r="B3" s="1" t="s">
        <v>102</v>
      </c>
      <c r="C3" s="1">
        <v>2</v>
      </c>
      <c r="D3" s="1">
        <v>1</v>
      </c>
      <c r="E3" s="1">
        <f>D3/C3*100</f>
        <v>50</v>
      </c>
    </row>
    <row r="4" spans="1:5" x14ac:dyDescent="0.25">
      <c r="A4" s="1" t="s">
        <v>2</v>
      </c>
      <c r="B4" s="1" t="s">
        <v>102</v>
      </c>
      <c r="C4" s="1">
        <v>0</v>
      </c>
      <c r="D4" s="1">
        <v>0</v>
      </c>
      <c r="E4" s="1" t="s">
        <v>122</v>
      </c>
    </row>
    <row r="5" spans="1:5" x14ac:dyDescent="0.25">
      <c r="A5" s="1" t="s">
        <v>3</v>
      </c>
      <c r="B5" s="1" t="s">
        <v>102</v>
      </c>
      <c r="C5" s="1">
        <v>0</v>
      </c>
      <c r="D5" s="1">
        <v>0</v>
      </c>
      <c r="E5" s="1" t="s">
        <v>122</v>
      </c>
    </row>
    <row r="6" spans="1:5" x14ac:dyDescent="0.25">
      <c r="A6" s="1" t="s">
        <v>4</v>
      </c>
      <c r="B6" s="1" t="s">
        <v>102</v>
      </c>
      <c r="C6" s="1">
        <v>3</v>
      </c>
      <c r="D6" s="1">
        <v>3</v>
      </c>
      <c r="E6" s="1">
        <f t="shared" ref="E6:E67" si="0">D6/C6*100</f>
        <v>100</v>
      </c>
    </row>
    <row r="7" spans="1:5" x14ac:dyDescent="0.25">
      <c r="A7" s="1" t="s">
        <v>5</v>
      </c>
      <c r="B7" s="1" t="s">
        <v>102</v>
      </c>
      <c r="C7" s="1">
        <v>0</v>
      </c>
      <c r="D7" s="1">
        <v>0</v>
      </c>
      <c r="E7" s="1" t="s">
        <v>122</v>
      </c>
    </row>
    <row r="8" spans="1:5" x14ac:dyDescent="0.25">
      <c r="A8" s="1" t="s">
        <v>6</v>
      </c>
      <c r="B8" s="1" t="s">
        <v>103</v>
      </c>
      <c r="E8" s="1" t="s">
        <v>123</v>
      </c>
    </row>
    <row r="9" spans="1:5" x14ac:dyDescent="0.25">
      <c r="A9" s="1" t="s">
        <v>7</v>
      </c>
      <c r="B9" s="1" t="s">
        <v>102</v>
      </c>
      <c r="C9" s="1">
        <v>10</v>
      </c>
      <c r="D9" s="1">
        <v>10</v>
      </c>
      <c r="E9" s="1">
        <f t="shared" si="0"/>
        <v>100</v>
      </c>
    </row>
    <row r="10" spans="1:5" x14ac:dyDescent="0.25">
      <c r="A10" s="1" t="s">
        <v>8</v>
      </c>
      <c r="B10" s="1" t="s">
        <v>121</v>
      </c>
      <c r="E10" s="1" t="s">
        <v>123</v>
      </c>
    </row>
    <row r="11" spans="1:5" x14ac:dyDescent="0.25">
      <c r="A11" s="1" t="s">
        <v>9</v>
      </c>
      <c r="B11" s="1" t="s">
        <v>107</v>
      </c>
      <c r="C11" s="1">
        <v>3</v>
      </c>
      <c r="D11" s="1">
        <v>3</v>
      </c>
      <c r="E11" s="1">
        <f t="shared" si="0"/>
        <v>100</v>
      </c>
    </row>
    <row r="12" spans="1:5" x14ac:dyDescent="0.25">
      <c r="A12" s="1" t="s">
        <v>10</v>
      </c>
      <c r="B12" s="1" t="s">
        <v>107</v>
      </c>
      <c r="C12" s="1">
        <v>13</v>
      </c>
      <c r="D12" s="1">
        <v>3</v>
      </c>
      <c r="E12" s="1">
        <f t="shared" si="0"/>
        <v>23.076923076923077</v>
      </c>
    </row>
    <row r="13" spans="1:5" x14ac:dyDescent="0.25">
      <c r="A13" s="1" t="s">
        <v>11</v>
      </c>
      <c r="B13" s="1" t="s">
        <v>107</v>
      </c>
      <c r="C13" s="1">
        <v>100</v>
      </c>
      <c r="D13" s="1">
        <v>76</v>
      </c>
      <c r="E13" s="1">
        <f t="shared" si="0"/>
        <v>76</v>
      </c>
    </row>
    <row r="14" spans="1:5" x14ac:dyDescent="0.25">
      <c r="A14" s="1" t="s">
        <v>12</v>
      </c>
      <c r="B14" s="1" t="s">
        <v>102</v>
      </c>
      <c r="C14" s="1">
        <v>1</v>
      </c>
      <c r="D14" s="1">
        <v>0</v>
      </c>
      <c r="E14" s="1">
        <f t="shared" si="0"/>
        <v>0</v>
      </c>
    </row>
    <row r="15" spans="1:5" x14ac:dyDescent="0.25">
      <c r="A15" s="1" t="s">
        <v>13</v>
      </c>
      <c r="B15" s="1" t="s">
        <v>102</v>
      </c>
      <c r="C15" s="1">
        <v>7</v>
      </c>
      <c r="D15" s="1">
        <v>4</v>
      </c>
      <c r="E15" s="1">
        <f t="shared" si="0"/>
        <v>57.142857142857139</v>
      </c>
    </row>
    <row r="16" spans="1:5" x14ac:dyDescent="0.25">
      <c r="A16" s="1" t="s">
        <v>14</v>
      </c>
      <c r="B16" s="1" t="s">
        <v>102</v>
      </c>
      <c r="C16" s="1">
        <v>5</v>
      </c>
      <c r="D16" s="1">
        <v>1</v>
      </c>
      <c r="E16" s="1">
        <f t="shared" si="0"/>
        <v>20</v>
      </c>
    </row>
    <row r="17" spans="1:5" x14ac:dyDescent="0.25">
      <c r="A17" s="1" t="s">
        <v>15</v>
      </c>
      <c r="B17" s="1" t="s">
        <v>102</v>
      </c>
      <c r="C17" s="1">
        <v>4</v>
      </c>
      <c r="D17" s="1">
        <v>0</v>
      </c>
      <c r="E17" s="1">
        <f t="shared" si="0"/>
        <v>0</v>
      </c>
    </row>
    <row r="18" spans="1:5" x14ac:dyDescent="0.25">
      <c r="A18" s="1" t="s">
        <v>16</v>
      </c>
      <c r="B18" s="1" t="s">
        <v>102</v>
      </c>
      <c r="C18" s="1">
        <v>0</v>
      </c>
      <c r="D18" s="1">
        <v>0</v>
      </c>
      <c r="E18" s="1" t="s">
        <v>122</v>
      </c>
    </row>
    <row r="19" spans="1:5" x14ac:dyDescent="0.25">
      <c r="A19" s="1" t="s">
        <v>1</v>
      </c>
      <c r="B19" s="1" t="s">
        <v>102</v>
      </c>
      <c r="C19" s="1">
        <v>14</v>
      </c>
      <c r="D19" s="1">
        <v>13</v>
      </c>
      <c r="E19" s="1">
        <f t="shared" si="0"/>
        <v>92.857142857142861</v>
      </c>
    </row>
    <row r="20" spans="1:5" x14ac:dyDescent="0.25">
      <c r="A20" s="1" t="s">
        <v>17</v>
      </c>
      <c r="B20" s="1" t="s">
        <v>102</v>
      </c>
      <c r="C20" s="1">
        <v>4</v>
      </c>
      <c r="D20" s="1">
        <v>1</v>
      </c>
      <c r="E20" s="1">
        <f t="shared" si="0"/>
        <v>25</v>
      </c>
    </row>
    <row r="21" spans="1:5" x14ac:dyDescent="0.25">
      <c r="A21" s="1" t="s">
        <v>18</v>
      </c>
      <c r="B21" s="1" t="s">
        <v>103</v>
      </c>
      <c r="C21" s="1">
        <v>1</v>
      </c>
      <c r="D21" s="1">
        <v>1</v>
      </c>
      <c r="E21" s="1">
        <f t="shared" si="0"/>
        <v>100</v>
      </c>
    </row>
    <row r="22" spans="1:5" x14ac:dyDescent="0.25">
      <c r="A22" s="1" t="s">
        <v>19</v>
      </c>
      <c r="B22" s="1" t="s">
        <v>102</v>
      </c>
      <c r="C22" s="1">
        <v>1</v>
      </c>
      <c r="D22" s="1">
        <v>1</v>
      </c>
      <c r="E22" s="1">
        <f t="shared" si="0"/>
        <v>100</v>
      </c>
    </row>
    <row r="23" spans="1:5" x14ac:dyDescent="0.25">
      <c r="A23" s="1" t="s">
        <v>20</v>
      </c>
      <c r="B23" s="1" t="s">
        <v>102</v>
      </c>
      <c r="C23" s="1">
        <v>4</v>
      </c>
      <c r="D23" s="1">
        <v>3</v>
      </c>
      <c r="E23" s="1">
        <f t="shared" si="0"/>
        <v>75</v>
      </c>
    </row>
    <row r="24" spans="1:5" x14ac:dyDescent="0.25">
      <c r="A24" s="1" t="s">
        <v>21</v>
      </c>
      <c r="B24" s="1" t="s">
        <v>102</v>
      </c>
      <c r="C24" s="1">
        <v>9</v>
      </c>
      <c r="D24" s="1">
        <v>4</v>
      </c>
      <c r="E24" s="1">
        <f t="shared" si="0"/>
        <v>44.444444444444443</v>
      </c>
    </row>
    <row r="25" spans="1:5" x14ac:dyDescent="0.25">
      <c r="A25" s="1" t="s">
        <v>22</v>
      </c>
      <c r="B25" s="1" t="s">
        <v>102</v>
      </c>
      <c r="C25" s="1">
        <v>16</v>
      </c>
      <c r="D25" s="1">
        <v>15</v>
      </c>
      <c r="E25" s="1">
        <f t="shared" si="0"/>
        <v>93.75</v>
      </c>
    </row>
    <row r="26" spans="1:5" x14ac:dyDescent="0.25">
      <c r="A26" s="1" t="s">
        <v>23</v>
      </c>
      <c r="B26" s="1" t="s">
        <v>102</v>
      </c>
      <c r="C26" s="1">
        <v>0</v>
      </c>
      <c r="D26" s="1">
        <v>0</v>
      </c>
      <c r="E26" s="1" t="s">
        <v>122</v>
      </c>
    </row>
    <row r="27" spans="1:5" x14ac:dyDescent="0.25">
      <c r="A27" s="1" t="s">
        <v>24</v>
      </c>
      <c r="B27" s="1" t="s">
        <v>103</v>
      </c>
      <c r="C27" s="1">
        <v>0</v>
      </c>
      <c r="D27" s="1">
        <v>0</v>
      </c>
      <c r="E27" s="1" t="s">
        <v>122</v>
      </c>
    </row>
    <row r="28" spans="1:5" x14ac:dyDescent="0.25">
      <c r="A28" s="1" t="s">
        <v>25</v>
      </c>
      <c r="B28" s="1" t="s">
        <v>107</v>
      </c>
      <c r="C28" s="1">
        <v>16</v>
      </c>
      <c r="D28" s="1">
        <v>4</v>
      </c>
      <c r="E28" s="1">
        <f t="shared" si="0"/>
        <v>25</v>
      </c>
    </row>
    <row r="29" spans="1:5" x14ac:dyDescent="0.25">
      <c r="A29" s="1" t="s">
        <v>26</v>
      </c>
      <c r="B29" s="1" t="s">
        <v>102</v>
      </c>
      <c r="C29" s="1">
        <v>8</v>
      </c>
      <c r="D29" s="1">
        <v>8</v>
      </c>
      <c r="E29" s="1">
        <f t="shared" si="0"/>
        <v>100</v>
      </c>
    </row>
    <row r="30" spans="1:5" x14ac:dyDescent="0.25">
      <c r="A30" s="1" t="s">
        <v>27</v>
      </c>
      <c r="B30" s="1" t="s">
        <v>102</v>
      </c>
      <c r="C30" s="1">
        <v>12</v>
      </c>
      <c r="D30" s="1">
        <v>4</v>
      </c>
      <c r="E30" s="1">
        <f t="shared" si="0"/>
        <v>33.333333333333329</v>
      </c>
    </row>
    <row r="31" spans="1:5" x14ac:dyDescent="0.25">
      <c r="A31" s="1" t="s">
        <v>28</v>
      </c>
      <c r="B31" s="1" t="s">
        <v>108</v>
      </c>
      <c r="E31" s="1" t="s">
        <v>123</v>
      </c>
    </row>
    <row r="32" spans="1:5" x14ac:dyDescent="0.25">
      <c r="A32" s="1" t="s">
        <v>29</v>
      </c>
      <c r="B32" s="1" t="s">
        <v>108</v>
      </c>
      <c r="E32" s="1" t="s">
        <v>123</v>
      </c>
    </row>
    <row r="33" spans="1:5" x14ac:dyDescent="0.25">
      <c r="A33" s="1" t="s">
        <v>30</v>
      </c>
      <c r="B33" s="1" t="s">
        <v>102</v>
      </c>
      <c r="C33" s="1">
        <v>12</v>
      </c>
      <c r="D33" s="1">
        <v>3</v>
      </c>
      <c r="E33" s="1">
        <f t="shared" si="0"/>
        <v>25</v>
      </c>
    </row>
    <row r="34" spans="1:5" x14ac:dyDescent="0.25">
      <c r="A34" s="1" t="s">
        <v>31</v>
      </c>
      <c r="B34" s="1" t="s">
        <v>102</v>
      </c>
      <c r="C34" s="1">
        <v>0</v>
      </c>
      <c r="D34" s="1">
        <v>0</v>
      </c>
      <c r="E34" s="1" t="s">
        <v>122</v>
      </c>
    </row>
    <row r="35" spans="1:5" x14ac:dyDescent="0.25">
      <c r="A35" s="1" t="s">
        <v>32</v>
      </c>
      <c r="B35" s="1" t="s">
        <v>103</v>
      </c>
      <c r="C35" s="1">
        <v>5</v>
      </c>
      <c r="D35" s="1">
        <v>2</v>
      </c>
      <c r="E35" s="1">
        <f t="shared" si="0"/>
        <v>40</v>
      </c>
    </row>
    <row r="36" spans="1:5" x14ac:dyDescent="0.25">
      <c r="A36" s="1" t="s">
        <v>33</v>
      </c>
      <c r="B36" s="1" t="s">
        <v>102</v>
      </c>
      <c r="C36" s="1">
        <v>0</v>
      </c>
      <c r="D36" s="1">
        <v>0</v>
      </c>
      <c r="E36" s="1" t="s">
        <v>122</v>
      </c>
    </row>
    <row r="37" spans="1:5" x14ac:dyDescent="0.25">
      <c r="A37" s="1" t="s">
        <v>34</v>
      </c>
      <c r="B37" s="1" t="s">
        <v>102</v>
      </c>
      <c r="C37" s="1">
        <v>4</v>
      </c>
      <c r="D37" s="1">
        <v>3</v>
      </c>
      <c r="E37" s="1">
        <f t="shared" si="0"/>
        <v>75</v>
      </c>
    </row>
    <row r="38" spans="1:5" x14ac:dyDescent="0.25">
      <c r="A38" s="1" t="s">
        <v>35</v>
      </c>
      <c r="B38" s="1" t="s">
        <v>102</v>
      </c>
      <c r="E38" s="1">
        <v>0</v>
      </c>
    </row>
    <row r="39" spans="1:5" x14ac:dyDescent="0.25">
      <c r="A39" s="1" t="s">
        <v>36</v>
      </c>
      <c r="B39" s="1" t="s">
        <v>103</v>
      </c>
      <c r="C39" s="1">
        <v>9</v>
      </c>
      <c r="D39" s="1">
        <v>9</v>
      </c>
      <c r="E39" s="1">
        <f t="shared" si="0"/>
        <v>100</v>
      </c>
    </row>
    <row r="40" spans="1:5" x14ac:dyDescent="0.25">
      <c r="A40" s="1" t="s">
        <v>37</v>
      </c>
      <c r="B40" s="1" t="s">
        <v>102</v>
      </c>
      <c r="C40" s="1">
        <v>8</v>
      </c>
      <c r="D40" s="1">
        <v>6</v>
      </c>
      <c r="E40" s="1">
        <f t="shared" si="0"/>
        <v>75</v>
      </c>
    </row>
    <row r="41" spans="1:5" x14ac:dyDescent="0.25">
      <c r="A41" s="1" t="s">
        <v>38</v>
      </c>
      <c r="B41" s="1" t="s">
        <v>106</v>
      </c>
      <c r="C41" s="1">
        <v>16</v>
      </c>
      <c r="D41" s="1">
        <v>7</v>
      </c>
      <c r="E41" s="1">
        <f t="shared" si="0"/>
        <v>43.75</v>
      </c>
    </row>
    <row r="42" spans="1:5" x14ac:dyDescent="0.25">
      <c r="A42" s="1" t="s">
        <v>39</v>
      </c>
      <c r="B42" s="1" t="s">
        <v>102</v>
      </c>
      <c r="C42" s="1">
        <v>3</v>
      </c>
      <c r="D42" s="1">
        <v>0</v>
      </c>
      <c r="E42" s="1">
        <f t="shared" si="0"/>
        <v>0</v>
      </c>
    </row>
    <row r="43" spans="1:5" x14ac:dyDescent="0.25">
      <c r="A43" s="1" t="s">
        <v>40</v>
      </c>
      <c r="B43" s="1" t="s">
        <v>102</v>
      </c>
      <c r="C43" s="1">
        <v>14</v>
      </c>
      <c r="D43" s="1">
        <v>13</v>
      </c>
      <c r="E43" s="1">
        <f t="shared" si="0"/>
        <v>92.857142857142861</v>
      </c>
    </row>
    <row r="44" spans="1:5" x14ac:dyDescent="0.25">
      <c r="A44" s="1" t="s">
        <v>41</v>
      </c>
      <c r="B44" s="1" t="s">
        <v>102</v>
      </c>
      <c r="C44" s="1">
        <v>2</v>
      </c>
      <c r="D44" s="1">
        <v>1</v>
      </c>
      <c r="E44" s="1">
        <f t="shared" si="0"/>
        <v>50</v>
      </c>
    </row>
    <row r="45" spans="1:5" x14ac:dyDescent="0.25">
      <c r="A45" s="1" t="s">
        <v>42</v>
      </c>
      <c r="B45" s="1" t="s">
        <v>107</v>
      </c>
      <c r="C45" s="1">
        <v>7</v>
      </c>
      <c r="D45" s="1">
        <v>9</v>
      </c>
      <c r="E45" s="1">
        <f t="shared" si="0"/>
        <v>128.57142857142858</v>
      </c>
    </row>
    <row r="46" spans="1:5" x14ac:dyDescent="0.25">
      <c r="A46" s="1" t="s">
        <v>43</v>
      </c>
      <c r="B46" s="1" t="s">
        <v>102</v>
      </c>
      <c r="C46" s="1">
        <v>9</v>
      </c>
      <c r="D46" s="1">
        <v>7</v>
      </c>
      <c r="E46" s="1">
        <f t="shared" si="0"/>
        <v>77.777777777777786</v>
      </c>
    </row>
    <row r="47" spans="1:5" x14ac:dyDescent="0.25">
      <c r="A47" s="1" t="s">
        <v>44</v>
      </c>
      <c r="B47" s="1" t="s">
        <v>103</v>
      </c>
      <c r="C47" s="1">
        <v>0</v>
      </c>
      <c r="D47" s="1">
        <v>0</v>
      </c>
      <c r="E47" s="1" t="s">
        <v>122</v>
      </c>
    </row>
    <row r="48" spans="1:5" x14ac:dyDescent="0.25">
      <c r="A48" s="1" t="s">
        <v>45</v>
      </c>
      <c r="B48" s="1" t="s">
        <v>102</v>
      </c>
      <c r="C48" s="1">
        <v>22</v>
      </c>
      <c r="D48" s="1">
        <v>22</v>
      </c>
      <c r="E48" s="1">
        <f t="shared" si="0"/>
        <v>100</v>
      </c>
    </row>
    <row r="49" spans="1:5" x14ac:dyDescent="0.25">
      <c r="A49" s="1" t="s">
        <v>46</v>
      </c>
      <c r="B49" s="1" t="s">
        <v>103</v>
      </c>
      <c r="C49" s="1">
        <v>8</v>
      </c>
      <c r="D49" s="1">
        <v>2</v>
      </c>
      <c r="E49" s="1">
        <f t="shared" si="0"/>
        <v>25</v>
      </c>
    </row>
    <row r="50" spans="1:5" x14ac:dyDescent="0.25">
      <c r="A50" s="1" t="s">
        <v>47</v>
      </c>
      <c r="B50" s="1" t="s">
        <v>102</v>
      </c>
      <c r="C50" s="1">
        <v>34</v>
      </c>
      <c r="D50" s="1">
        <v>18</v>
      </c>
      <c r="E50" s="1">
        <f t="shared" si="0"/>
        <v>52.941176470588239</v>
      </c>
    </row>
    <row r="51" spans="1:5" x14ac:dyDescent="0.25">
      <c r="A51" s="1" t="s">
        <v>48</v>
      </c>
      <c r="B51" s="1" t="s">
        <v>103</v>
      </c>
      <c r="C51" s="1">
        <v>0</v>
      </c>
      <c r="D51" s="1">
        <v>0</v>
      </c>
      <c r="E51" s="1" t="s">
        <v>122</v>
      </c>
    </row>
    <row r="52" spans="1:5" x14ac:dyDescent="0.25">
      <c r="A52" s="1" t="s">
        <v>49</v>
      </c>
      <c r="B52" s="1" t="s">
        <v>102</v>
      </c>
      <c r="C52" s="1">
        <v>1</v>
      </c>
      <c r="D52" s="1">
        <v>1</v>
      </c>
      <c r="E52" s="1">
        <f t="shared" si="0"/>
        <v>100</v>
      </c>
    </row>
    <row r="53" spans="1:5" x14ac:dyDescent="0.25">
      <c r="A53" s="1" t="s">
        <v>50</v>
      </c>
      <c r="B53" s="1" t="s">
        <v>102</v>
      </c>
      <c r="C53" s="1">
        <v>4</v>
      </c>
      <c r="D53" s="1">
        <v>2</v>
      </c>
      <c r="E53" s="1">
        <f t="shared" si="0"/>
        <v>50</v>
      </c>
    </row>
    <row r="54" spans="1:5" x14ac:dyDescent="0.25">
      <c r="A54" s="1" t="s">
        <v>51</v>
      </c>
      <c r="B54" s="1" t="s">
        <v>102</v>
      </c>
      <c r="C54" s="1">
        <v>5</v>
      </c>
      <c r="D54" s="1">
        <v>2</v>
      </c>
      <c r="E54" s="1">
        <f t="shared" si="0"/>
        <v>40</v>
      </c>
    </row>
    <row r="55" spans="1:5" x14ac:dyDescent="0.25">
      <c r="A55" s="1" t="s">
        <v>52</v>
      </c>
      <c r="B55" s="1" t="s">
        <v>102</v>
      </c>
      <c r="C55" s="1">
        <v>2</v>
      </c>
      <c r="D55" s="1">
        <v>1</v>
      </c>
      <c r="E55" s="1">
        <f t="shared" si="0"/>
        <v>50</v>
      </c>
    </row>
    <row r="56" spans="1:5" x14ac:dyDescent="0.25">
      <c r="A56" s="1" t="s">
        <v>53</v>
      </c>
      <c r="B56" s="1" t="s">
        <v>103</v>
      </c>
      <c r="C56" s="1">
        <v>5</v>
      </c>
      <c r="D56" s="1">
        <v>0</v>
      </c>
      <c r="E56" s="1">
        <f t="shared" si="0"/>
        <v>0</v>
      </c>
    </row>
    <row r="57" spans="1:5" x14ac:dyDescent="0.25">
      <c r="A57" s="1" t="s">
        <v>54</v>
      </c>
      <c r="B57" s="1" t="s">
        <v>107</v>
      </c>
      <c r="C57" s="1">
        <v>15</v>
      </c>
      <c r="D57" s="1">
        <v>5</v>
      </c>
      <c r="E57" s="1">
        <f t="shared" si="0"/>
        <v>33.333333333333329</v>
      </c>
    </row>
    <row r="58" spans="1:5" x14ac:dyDescent="0.25">
      <c r="A58" s="1" t="s">
        <v>55</v>
      </c>
      <c r="B58" s="1" t="s">
        <v>102</v>
      </c>
      <c r="C58" s="1">
        <v>2</v>
      </c>
      <c r="D58" s="1">
        <v>1</v>
      </c>
      <c r="E58" s="1">
        <f t="shared" si="0"/>
        <v>50</v>
      </c>
    </row>
    <row r="59" spans="1:5" x14ac:dyDescent="0.25">
      <c r="A59" s="1" t="s">
        <v>56</v>
      </c>
      <c r="B59" s="1" t="s">
        <v>102</v>
      </c>
      <c r="C59" s="1">
        <v>21</v>
      </c>
      <c r="D59" s="1">
        <v>21</v>
      </c>
      <c r="E59" s="1">
        <f t="shared" si="0"/>
        <v>100</v>
      </c>
    </row>
    <row r="60" spans="1:5" x14ac:dyDescent="0.25">
      <c r="A60" s="1" t="s">
        <v>57</v>
      </c>
      <c r="B60" s="1" t="s">
        <v>107</v>
      </c>
      <c r="C60" s="1">
        <v>11</v>
      </c>
      <c r="D60" s="1">
        <v>8</v>
      </c>
      <c r="E60" s="1">
        <f t="shared" si="0"/>
        <v>72.727272727272734</v>
      </c>
    </row>
    <row r="61" spans="1:5" x14ac:dyDescent="0.25">
      <c r="A61" s="1" t="s">
        <v>58</v>
      </c>
      <c r="B61" s="1" t="s">
        <v>103</v>
      </c>
      <c r="C61" s="1">
        <v>1</v>
      </c>
      <c r="D61" s="1">
        <v>1</v>
      </c>
      <c r="E61" s="1">
        <f t="shared" si="0"/>
        <v>100</v>
      </c>
    </row>
    <row r="62" spans="1:5" x14ac:dyDescent="0.25">
      <c r="A62" s="1" t="s">
        <v>59</v>
      </c>
      <c r="B62" s="1" t="s">
        <v>103</v>
      </c>
      <c r="C62" s="1">
        <v>0</v>
      </c>
      <c r="D62" s="1">
        <v>0</v>
      </c>
      <c r="E62" s="1" t="s">
        <v>122</v>
      </c>
    </row>
    <row r="63" spans="1:5" x14ac:dyDescent="0.25">
      <c r="A63" s="1" t="s">
        <v>60</v>
      </c>
      <c r="B63" s="1" t="s">
        <v>103</v>
      </c>
      <c r="C63" s="1">
        <v>1</v>
      </c>
      <c r="D63" s="1">
        <v>1</v>
      </c>
      <c r="E63" s="1">
        <f t="shared" si="0"/>
        <v>100</v>
      </c>
    </row>
    <row r="64" spans="1:5" x14ac:dyDescent="0.25">
      <c r="A64" s="1" t="s">
        <v>61</v>
      </c>
      <c r="B64" s="1" t="s">
        <v>103</v>
      </c>
      <c r="C64" s="1">
        <v>4</v>
      </c>
      <c r="D64" s="1">
        <v>1</v>
      </c>
      <c r="E64" s="1">
        <f t="shared" si="0"/>
        <v>25</v>
      </c>
    </row>
    <row r="65" spans="1:5" x14ac:dyDescent="0.25">
      <c r="A65" s="1" t="s">
        <v>62</v>
      </c>
      <c r="B65" s="1" t="s">
        <v>103</v>
      </c>
      <c r="C65" s="1">
        <v>17</v>
      </c>
      <c r="D65" s="1">
        <v>15</v>
      </c>
      <c r="E65" s="1">
        <f t="shared" si="0"/>
        <v>88.235294117647058</v>
      </c>
    </row>
    <row r="66" spans="1:5" x14ac:dyDescent="0.25">
      <c r="A66" s="1" t="s">
        <v>63</v>
      </c>
      <c r="B66" s="1" t="s">
        <v>102</v>
      </c>
      <c r="C66" s="1">
        <v>1</v>
      </c>
      <c r="D66" s="1">
        <v>0</v>
      </c>
      <c r="E66" s="1">
        <f t="shared" si="0"/>
        <v>0</v>
      </c>
    </row>
    <row r="67" spans="1:5" x14ac:dyDescent="0.25">
      <c r="A67" s="1" t="s">
        <v>64</v>
      </c>
      <c r="B67" s="1" t="s">
        <v>103</v>
      </c>
      <c r="C67" s="1">
        <v>5</v>
      </c>
      <c r="D67" s="1">
        <v>4</v>
      </c>
      <c r="E67" s="1">
        <f t="shared" si="0"/>
        <v>80</v>
      </c>
    </row>
    <row r="68" spans="1:5" x14ac:dyDescent="0.25">
      <c r="A68" s="1" t="s">
        <v>65</v>
      </c>
      <c r="B68" s="1" t="s">
        <v>102</v>
      </c>
      <c r="C68" s="1">
        <v>2</v>
      </c>
      <c r="D68" s="1">
        <v>2</v>
      </c>
      <c r="E68" s="1">
        <f t="shared" ref="E68:E102" si="1">D68/C68*100</f>
        <v>100</v>
      </c>
    </row>
    <row r="69" spans="1:5" x14ac:dyDescent="0.25">
      <c r="A69" s="1" t="s">
        <v>66</v>
      </c>
      <c r="B69" s="1" t="s">
        <v>102</v>
      </c>
      <c r="C69" s="1">
        <v>63</v>
      </c>
      <c r="D69" s="1">
        <v>71</v>
      </c>
      <c r="E69" s="1">
        <f t="shared" si="1"/>
        <v>112.6984126984127</v>
      </c>
    </row>
    <row r="70" spans="1:5" x14ac:dyDescent="0.25">
      <c r="A70" s="1" t="s">
        <v>67</v>
      </c>
      <c r="B70" s="1" t="s">
        <v>121</v>
      </c>
      <c r="E70" s="1" t="s">
        <v>123</v>
      </c>
    </row>
    <row r="71" spans="1:5" x14ac:dyDescent="0.25">
      <c r="A71" s="1" t="s">
        <v>68</v>
      </c>
      <c r="B71" s="1" t="s">
        <v>102</v>
      </c>
      <c r="C71" s="1">
        <v>3</v>
      </c>
      <c r="D71" s="1">
        <v>2</v>
      </c>
      <c r="E71" s="1">
        <f t="shared" si="1"/>
        <v>66.666666666666657</v>
      </c>
    </row>
    <row r="72" spans="1:5" x14ac:dyDescent="0.25">
      <c r="A72" s="1" t="s">
        <v>69</v>
      </c>
      <c r="B72" s="1" t="s">
        <v>102</v>
      </c>
      <c r="C72" s="1">
        <v>3</v>
      </c>
      <c r="D72" s="1">
        <v>3</v>
      </c>
      <c r="E72" s="1">
        <f t="shared" si="1"/>
        <v>100</v>
      </c>
    </row>
    <row r="73" spans="1:5" x14ac:dyDescent="0.25">
      <c r="A73" s="1" t="s">
        <v>70</v>
      </c>
      <c r="B73" s="1" t="s">
        <v>102</v>
      </c>
      <c r="C73" s="1">
        <v>8</v>
      </c>
      <c r="D73" s="1">
        <v>8</v>
      </c>
      <c r="E73" s="1">
        <f t="shared" si="1"/>
        <v>100</v>
      </c>
    </row>
    <row r="74" spans="1:5" x14ac:dyDescent="0.25">
      <c r="A74" s="1" t="s">
        <v>71</v>
      </c>
      <c r="B74" s="1" t="s">
        <v>109</v>
      </c>
      <c r="C74" s="1">
        <v>16</v>
      </c>
      <c r="D74" s="1">
        <v>16</v>
      </c>
      <c r="E74" s="1">
        <f t="shared" si="1"/>
        <v>100</v>
      </c>
    </row>
    <row r="75" spans="1:5" x14ac:dyDescent="0.25">
      <c r="A75" s="1" t="s">
        <v>72</v>
      </c>
      <c r="B75" s="1" t="s">
        <v>103</v>
      </c>
      <c r="C75" s="1">
        <v>4</v>
      </c>
      <c r="D75" s="1">
        <v>4</v>
      </c>
      <c r="E75" s="1">
        <f t="shared" si="1"/>
        <v>100</v>
      </c>
    </row>
    <row r="76" spans="1:5" x14ac:dyDescent="0.25">
      <c r="A76" s="1" t="s">
        <v>73</v>
      </c>
      <c r="B76" s="1" t="s">
        <v>102</v>
      </c>
      <c r="C76" s="1">
        <v>29</v>
      </c>
      <c r="E76" s="1">
        <f t="shared" si="1"/>
        <v>0</v>
      </c>
    </row>
    <row r="77" spans="1:5" x14ac:dyDescent="0.25">
      <c r="A77" s="1" t="s">
        <v>74</v>
      </c>
      <c r="B77" s="1" t="s">
        <v>103</v>
      </c>
      <c r="C77" s="1">
        <v>9</v>
      </c>
      <c r="D77" s="1">
        <v>0</v>
      </c>
      <c r="E77" s="1">
        <f t="shared" si="1"/>
        <v>0</v>
      </c>
    </row>
    <row r="78" spans="1:5" x14ac:dyDescent="0.25">
      <c r="A78" s="1" t="s">
        <v>75</v>
      </c>
      <c r="B78" s="1" t="s">
        <v>103</v>
      </c>
      <c r="C78" s="1">
        <v>1</v>
      </c>
      <c r="D78" s="1">
        <v>0</v>
      </c>
      <c r="E78" s="1">
        <f t="shared" si="1"/>
        <v>0</v>
      </c>
    </row>
    <row r="79" spans="1:5" x14ac:dyDescent="0.25">
      <c r="A79" s="1" t="s">
        <v>76</v>
      </c>
      <c r="B79" s="1" t="s">
        <v>107</v>
      </c>
      <c r="C79" s="1">
        <v>1</v>
      </c>
      <c r="D79" s="1">
        <v>0</v>
      </c>
      <c r="E79" s="1">
        <f t="shared" si="1"/>
        <v>0</v>
      </c>
    </row>
    <row r="80" spans="1:5" x14ac:dyDescent="0.25">
      <c r="A80" s="1" t="s">
        <v>77</v>
      </c>
      <c r="B80" s="1" t="s">
        <v>103</v>
      </c>
      <c r="C80" s="1">
        <v>1</v>
      </c>
      <c r="D80" s="1">
        <v>0</v>
      </c>
      <c r="E80" s="1">
        <f t="shared" si="1"/>
        <v>0</v>
      </c>
    </row>
    <row r="81" spans="1:5" x14ac:dyDescent="0.25">
      <c r="A81" s="1" t="s">
        <v>78</v>
      </c>
      <c r="B81" s="1" t="s">
        <v>103</v>
      </c>
      <c r="C81" s="1">
        <v>8</v>
      </c>
      <c r="D81" s="1">
        <v>8</v>
      </c>
      <c r="E81" s="1">
        <f t="shared" si="1"/>
        <v>100</v>
      </c>
    </row>
    <row r="82" spans="1:5" x14ac:dyDescent="0.25">
      <c r="A82" s="1" t="s">
        <v>79</v>
      </c>
      <c r="B82" s="1" t="s">
        <v>103</v>
      </c>
      <c r="C82" s="1">
        <v>48</v>
      </c>
      <c r="D82" s="1">
        <v>29</v>
      </c>
      <c r="E82" s="1">
        <f t="shared" si="1"/>
        <v>60.416666666666664</v>
      </c>
    </row>
    <row r="83" spans="1:5" x14ac:dyDescent="0.25">
      <c r="A83" s="1" t="s">
        <v>80</v>
      </c>
      <c r="B83" s="1" t="s">
        <v>103</v>
      </c>
      <c r="C83" s="1">
        <v>6</v>
      </c>
      <c r="D83" s="1">
        <v>5</v>
      </c>
      <c r="E83" s="1">
        <f t="shared" si="1"/>
        <v>83.333333333333343</v>
      </c>
    </row>
    <row r="84" spans="1:5" x14ac:dyDescent="0.25">
      <c r="A84" s="1" t="s">
        <v>81</v>
      </c>
      <c r="B84" s="1" t="s">
        <v>102</v>
      </c>
      <c r="C84" s="1">
        <v>5</v>
      </c>
      <c r="D84" s="1">
        <v>3</v>
      </c>
      <c r="E84" s="1">
        <f t="shared" si="1"/>
        <v>60</v>
      </c>
    </row>
    <row r="85" spans="1:5" x14ac:dyDescent="0.25">
      <c r="A85" s="1" t="s">
        <v>82</v>
      </c>
      <c r="B85" s="1" t="s">
        <v>102</v>
      </c>
      <c r="C85" s="1">
        <v>8</v>
      </c>
      <c r="D85" s="1">
        <v>5</v>
      </c>
      <c r="E85" s="1">
        <f t="shared" si="1"/>
        <v>62.5</v>
      </c>
    </row>
    <row r="86" spans="1:5" x14ac:dyDescent="0.25">
      <c r="A86" s="1" t="s">
        <v>83</v>
      </c>
      <c r="B86" s="1" t="s">
        <v>103</v>
      </c>
      <c r="C86" s="1">
        <v>5</v>
      </c>
      <c r="D86" s="1">
        <v>0</v>
      </c>
      <c r="E86" s="1">
        <f t="shared" si="1"/>
        <v>0</v>
      </c>
    </row>
    <row r="87" spans="1:5" x14ac:dyDescent="0.25">
      <c r="A87" s="1" t="s">
        <v>84</v>
      </c>
      <c r="B87" s="1" t="s">
        <v>102</v>
      </c>
      <c r="C87" s="1">
        <v>85</v>
      </c>
      <c r="D87" s="1">
        <v>81</v>
      </c>
      <c r="E87" s="1">
        <f t="shared" si="1"/>
        <v>95.294117647058812</v>
      </c>
    </row>
    <row r="88" spans="1:5" x14ac:dyDescent="0.25">
      <c r="A88" s="1" t="s">
        <v>85</v>
      </c>
      <c r="B88" s="1" t="s">
        <v>110</v>
      </c>
      <c r="C88" s="1">
        <v>14</v>
      </c>
      <c r="D88" s="1">
        <v>6</v>
      </c>
      <c r="E88" s="1">
        <f t="shared" si="1"/>
        <v>42.857142857142854</v>
      </c>
    </row>
    <row r="89" spans="1:5" x14ac:dyDescent="0.25">
      <c r="A89" s="1" t="s">
        <v>86</v>
      </c>
      <c r="B89" s="1" t="s">
        <v>102</v>
      </c>
      <c r="C89" s="1">
        <v>17</v>
      </c>
      <c r="D89" s="1">
        <v>11</v>
      </c>
      <c r="E89" s="1">
        <f t="shared" si="1"/>
        <v>64.705882352941174</v>
      </c>
    </row>
    <row r="90" spans="1:5" x14ac:dyDescent="0.25">
      <c r="A90" s="1" t="s">
        <v>87</v>
      </c>
      <c r="B90" s="1" t="s">
        <v>103</v>
      </c>
      <c r="C90" s="1">
        <v>6</v>
      </c>
      <c r="D90" s="1">
        <v>0</v>
      </c>
      <c r="E90" s="1">
        <f t="shared" si="1"/>
        <v>0</v>
      </c>
    </row>
    <row r="91" spans="1:5" x14ac:dyDescent="0.25">
      <c r="A91" s="1" t="s">
        <v>88</v>
      </c>
      <c r="B91" s="1" t="s">
        <v>103</v>
      </c>
      <c r="C91" s="1">
        <v>5</v>
      </c>
      <c r="D91" s="1">
        <v>0</v>
      </c>
      <c r="E91" s="1">
        <f t="shared" si="1"/>
        <v>0</v>
      </c>
    </row>
    <row r="92" spans="1:5" x14ac:dyDescent="0.25">
      <c r="A92" s="1" t="s">
        <v>89</v>
      </c>
      <c r="B92" s="1" t="s">
        <v>102</v>
      </c>
      <c r="C92" s="1">
        <v>4</v>
      </c>
      <c r="D92" s="1">
        <v>3</v>
      </c>
      <c r="E92" s="1">
        <f t="shared" si="1"/>
        <v>75</v>
      </c>
    </row>
    <row r="93" spans="1:5" x14ac:dyDescent="0.25">
      <c r="A93" s="1" t="s">
        <v>90</v>
      </c>
      <c r="B93" s="1" t="s">
        <v>103</v>
      </c>
      <c r="C93" s="1">
        <v>13</v>
      </c>
      <c r="D93" s="1">
        <v>3</v>
      </c>
      <c r="E93" s="1">
        <f t="shared" si="1"/>
        <v>23.076923076923077</v>
      </c>
    </row>
    <row r="94" spans="1:5" x14ac:dyDescent="0.25">
      <c r="A94" s="1" t="s">
        <v>91</v>
      </c>
      <c r="B94" s="1" t="s">
        <v>107</v>
      </c>
      <c r="C94" s="1">
        <v>13</v>
      </c>
      <c r="D94" s="1">
        <v>11</v>
      </c>
      <c r="E94" s="1">
        <f t="shared" si="1"/>
        <v>84.615384615384613</v>
      </c>
    </row>
    <row r="95" spans="1:5" x14ac:dyDescent="0.25">
      <c r="A95" s="1" t="s">
        <v>92</v>
      </c>
      <c r="B95" s="1" t="s">
        <v>103</v>
      </c>
      <c r="C95" s="1">
        <v>7</v>
      </c>
      <c r="D95" s="1">
        <v>0</v>
      </c>
      <c r="E95" s="1">
        <f t="shared" si="1"/>
        <v>0</v>
      </c>
    </row>
    <row r="96" spans="1:5" x14ac:dyDescent="0.25">
      <c r="A96" s="1" t="s">
        <v>93</v>
      </c>
      <c r="B96" s="1" t="s">
        <v>102</v>
      </c>
      <c r="C96" s="1">
        <v>8</v>
      </c>
      <c r="D96" s="1">
        <v>3</v>
      </c>
      <c r="E96" s="1">
        <f t="shared" si="1"/>
        <v>37.5</v>
      </c>
    </row>
    <row r="97" spans="1:5" x14ac:dyDescent="0.25">
      <c r="A97" s="1" t="s">
        <v>94</v>
      </c>
      <c r="B97" s="1" t="s">
        <v>107</v>
      </c>
      <c r="C97" s="1">
        <v>0</v>
      </c>
      <c r="D97" s="1">
        <v>0</v>
      </c>
      <c r="E97" s="1" t="s">
        <v>122</v>
      </c>
    </row>
    <row r="98" spans="1:5" x14ac:dyDescent="0.25">
      <c r="A98" s="1" t="s">
        <v>95</v>
      </c>
      <c r="B98" s="1" t="s">
        <v>102</v>
      </c>
      <c r="C98" s="1">
        <v>5</v>
      </c>
      <c r="D98" s="1">
        <v>3</v>
      </c>
      <c r="E98" s="1">
        <f t="shared" si="1"/>
        <v>60</v>
      </c>
    </row>
    <row r="99" spans="1:5" x14ac:dyDescent="0.25">
      <c r="A99" s="1" t="s">
        <v>96</v>
      </c>
      <c r="B99" s="1" t="s">
        <v>102</v>
      </c>
      <c r="C99" s="1">
        <v>0</v>
      </c>
      <c r="D99" s="1">
        <v>0</v>
      </c>
      <c r="E99" s="1" t="s">
        <v>122</v>
      </c>
    </row>
    <row r="100" spans="1:5" x14ac:dyDescent="0.25">
      <c r="A100" s="1" t="s">
        <v>97</v>
      </c>
      <c r="B100" s="1" t="s">
        <v>102</v>
      </c>
      <c r="C100" s="1">
        <v>3</v>
      </c>
      <c r="D100" s="1">
        <v>2</v>
      </c>
      <c r="E100" s="1">
        <f t="shared" si="1"/>
        <v>66.666666666666657</v>
      </c>
    </row>
    <row r="101" spans="1:5" x14ac:dyDescent="0.25">
      <c r="A101" s="1" t="s">
        <v>98</v>
      </c>
      <c r="B101" s="1" t="s">
        <v>103</v>
      </c>
      <c r="C101" s="1">
        <v>1</v>
      </c>
      <c r="D101" s="1">
        <v>1</v>
      </c>
      <c r="E101" s="1">
        <f t="shared" si="1"/>
        <v>100</v>
      </c>
    </row>
    <row r="102" spans="1:5" x14ac:dyDescent="0.25">
      <c r="A102" s="1" t="s">
        <v>99</v>
      </c>
      <c r="B102" s="1" t="s">
        <v>103</v>
      </c>
      <c r="C102" s="1">
        <v>17</v>
      </c>
      <c r="D102" s="1">
        <v>9</v>
      </c>
      <c r="E102" s="1">
        <f t="shared" si="1"/>
        <v>52.941176470588239</v>
      </c>
    </row>
    <row r="104" spans="1:5" x14ac:dyDescent="0.25">
      <c r="A104" s="1" t="s">
        <v>120</v>
      </c>
    </row>
    <row r="105" spans="1:5" x14ac:dyDescent="0.25">
      <c r="B105" s="1" t="s">
        <v>116</v>
      </c>
      <c r="C105" s="1">
        <f>COUNTIF(B2:B102,"yes class")</f>
        <v>10</v>
      </c>
      <c r="D105" s="1" t="s">
        <v>112</v>
      </c>
      <c r="E105" s="1">
        <f>COUNTIF(E2:E102,"0")</f>
        <v>16</v>
      </c>
    </row>
    <row r="106" spans="1:5" x14ac:dyDescent="0.25">
      <c r="B106" s="1" t="s">
        <v>117</v>
      </c>
      <c r="C106" s="1">
        <f>COUNTIF(B2:B102,"yes")</f>
        <v>29</v>
      </c>
      <c r="D106" s="1" t="s">
        <v>113</v>
      </c>
      <c r="E106" s="1">
        <f>COUNTIF(C2:C102,"0")</f>
        <v>13</v>
      </c>
    </row>
    <row r="107" spans="1:5" x14ac:dyDescent="0.25">
      <c r="B107" s="1" t="s">
        <v>118</v>
      </c>
      <c r="C107" s="1">
        <f>COUNTIF(B2:B102,"no")</f>
        <v>55</v>
      </c>
      <c r="D107" s="4" t="s">
        <v>124</v>
      </c>
      <c r="E107" s="1">
        <f>COUNTIF(E2:E102,"&lt;25")-COUNTIF(E2:E102,"0")</f>
        <v>3</v>
      </c>
    </row>
    <row r="108" spans="1:5" x14ac:dyDescent="0.25">
      <c r="D108" s="4">
        <v>0.5</v>
      </c>
      <c r="E108" s="1">
        <f>COUNTIF(E2:E102,"&lt;50")-COUNTIF(E2:E102,"&lt;25")</f>
        <v>13</v>
      </c>
    </row>
    <row r="109" spans="1:5" x14ac:dyDescent="0.25">
      <c r="D109" s="4">
        <v>0.75</v>
      </c>
      <c r="E109" s="1">
        <f>COUNTIF(E2:E102,"&lt;75")-COUNTIF(E2:E102,"&lt;50")</f>
        <v>16</v>
      </c>
    </row>
    <row r="110" spans="1:5" x14ac:dyDescent="0.25">
      <c r="D110" s="4" t="s">
        <v>114</v>
      </c>
      <c r="E110" s="1">
        <f>COUNTIF(E2:E102,"&lt;100")-COUNTIF(E2:E102,"&lt;75")</f>
        <v>14</v>
      </c>
    </row>
    <row r="111" spans="1:5" x14ac:dyDescent="0.25">
      <c r="D111" s="1" t="s">
        <v>115</v>
      </c>
      <c r="E111" s="1">
        <f>COUNTIF(E2:E102,"100")</f>
        <v>19</v>
      </c>
    </row>
    <row r="112" spans="1:5" x14ac:dyDescent="0.25">
      <c r="D112" s="1" t="s">
        <v>119</v>
      </c>
      <c r="E112" s="1">
        <f>COUNTIF(E2:E102,"&gt;100")</f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Treude</dc:creator>
  <cp:lastModifiedBy>Francis John</cp:lastModifiedBy>
  <dcterms:created xsi:type="dcterms:W3CDTF">2016-11-08T07:16:20Z</dcterms:created>
  <dcterms:modified xsi:type="dcterms:W3CDTF">2017-10-27T04:06:21Z</dcterms:modified>
</cp:coreProperties>
</file>